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4" documentId="11_904627ABFFDFBA709314BC347F128F55D7276CC0" xr6:coauthVersionLast="47" xr6:coauthVersionMax="47" xr10:uidLastSave="{6B0C6AF0-E9BD-46B0-A6A9-D8079CAC8759}"/>
  <bookViews>
    <workbookView xWindow="-120" yWindow="-120" windowWidth="29040" windowHeight="17520" xr2:uid="{00000000-000D-0000-FFFF-FFFF00000000}"/>
  </bookViews>
  <sheets>
    <sheet name="ROI Calculator" sheetId="1" r:id="rId1"/>
    <sheet name="Pricing Comparis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1" i="1"/>
  <c r="C20" i="1"/>
  <c r="C31" i="1" s="1"/>
  <c r="C19" i="1"/>
  <c r="C30" i="1" s="1"/>
  <c r="C18" i="1"/>
  <c r="C29" i="1" s="1"/>
  <c r="C32" i="1" l="1"/>
  <c r="C22" i="1"/>
  <c r="C35" i="1" l="1"/>
  <c r="C38" i="1"/>
  <c r="C36" i="1"/>
  <c r="C37" i="1"/>
</calcChain>
</file>

<file path=xl/sharedStrings.xml><?xml version="1.0" encoding="utf-8"?>
<sst xmlns="http://schemas.openxmlformats.org/spreadsheetml/2006/main" count="129" uniqueCount="100">
  <si>
    <t>PRISM Workforce Platform — ROI Calculator</t>
  </si>
  <si>
    <t>See how much PRISM can save your business vs manual processes or competitors</t>
  </si>
  <si>
    <t>YOUR BUSINESS DETAILS</t>
  </si>
  <si>
    <t>Enter your values in yellow cells</t>
  </si>
  <si>
    <t>Number of contractors</t>
  </si>
  <si>
    <t>Number of staff managing contractors</t>
  </si>
  <si>
    <t>Average hourly rate of admin staff</t>
  </si>
  <si>
    <t>Hours per week — manual timesheet processing</t>
  </si>
  <si>
    <t>Hours per week — compliance tracking</t>
  </si>
  <si>
    <t>Hours per week — billing/invoicing</t>
  </si>
  <si>
    <t>Hours per week — data entry/reporting</t>
  </si>
  <si>
    <t>Current monthly software cost (if any)</t>
  </si>
  <si>
    <t>Average billing errors per month</t>
  </si>
  <si>
    <t>Average value per billing error</t>
  </si>
  <si>
    <t>Compliance fines risk per year</t>
  </si>
  <si>
    <t>CURRENT ANNUAL COSTS (Without PRISM)</t>
  </si>
  <si>
    <t>Annual admin time cost</t>
  </si>
  <si>
    <t>Staff x weekly hours x rate x 52</t>
  </si>
  <si>
    <t>Annual billing error cost</t>
  </si>
  <si>
    <t>Errors x value x 12</t>
  </si>
  <si>
    <t>Annual compliance risk</t>
  </si>
  <si>
    <t>Annual software cost</t>
  </si>
  <si>
    <t>TOTAL CURRENT ANNUAL COST</t>
  </si>
  <si>
    <t>WITH PRISM</t>
  </si>
  <si>
    <t>Estimated admin time reduction</t>
  </si>
  <si>
    <t>PRISM annual cost (tiered pricing)</t>
  </si>
  <si>
    <t>Based on contractor count</t>
  </si>
  <si>
    <t>Estimated billing error reduction</t>
  </si>
  <si>
    <t>Estimated compliance risk reduction</t>
  </si>
  <si>
    <t>Remaining admin time cost</t>
  </si>
  <si>
    <t>Remaining billing error cost</t>
  </si>
  <si>
    <t>Remaining compliance risk</t>
  </si>
  <si>
    <t>TOTAL ANNUAL COST WITH PRISM</t>
  </si>
  <si>
    <t>YOUR SAVINGS WITH PRISM</t>
  </si>
  <si>
    <t>ANNUAL SAVINGS</t>
  </si>
  <si>
    <t>MONTHLY SAVINGS</t>
  </si>
  <si>
    <t>RETURN ON INVESTMENT (ROI)</t>
  </si>
  <si>
    <t>PAYBACK PERIOD</t>
  </si>
  <si>
    <t>PRISM Pricing Tiers:</t>
  </si>
  <si>
    <t>1-25 contractors: £199/month  |  26-100: £399/month  |  101-250: £699/month  |  251+: £999/month</t>
  </si>
  <si>
    <t>All prices exclude VAT. Contact sales@prlsitesolutions.co.uk for enterprise pricing.</t>
  </si>
  <si>
    <t>PRISM vs Competitors — Feature &amp; Pricing Comparison</t>
  </si>
  <si>
    <t>See why PRISM is the best value workforce platform for UK recruitment agencies</t>
  </si>
  <si>
    <t>Feature</t>
  </si>
  <si>
    <t>PRISM</t>
  </si>
  <si>
    <t>Requidex</t>
  </si>
  <si>
    <t>Manual (Spreadsheets)</t>
  </si>
  <si>
    <t>Generic HR Software</t>
  </si>
  <si>
    <t>Monthly cost (50 contractors)</t>
  </si>
  <si>
    <t>£399/mo</t>
  </si>
  <si>
    <t>£800-1,200/mo</t>
  </si>
  <si>
    <t>£0 (hidden labour costs)</t>
  </si>
  <si>
    <t>£500-1,000/mo</t>
  </si>
  <si>
    <t>Setup cost</t>
  </si>
  <si>
    <t>£0</t>
  </si>
  <si>
    <t>£2,000-5,000</t>
  </si>
  <si>
    <t>£1,000-3,000</t>
  </si>
  <si>
    <t>Contractor limit</t>
  </si>
  <si>
    <t>Unlimited (tiered pricing)</t>
  </si>
  <si>
    <t>Per-seat pricing</t>
  </si>
  <si>
    <t>N/A (manual)</t>
  </si>
  <si>
    <t>Compliance module (IR35, right-to-work)</t>
  </si>
  <si>
    <t>Yes - full automation</t>
  </si>
  <si>
    <t>Basic</t>
  </si>
  <si>
    <t>No</t>
  </si>
  <si>
    <t>Limited</t>
  </si>
  <si>
    <t>Billing &amp; invoicing module</t>
  </si>
  <si>
    <t>Yes - automated with Sage sync</t>
  </si>
  <si>
    <t>Yes - basic</t>
  </si>
  <si>
    <t>Partial</t>
  </si>
  <si>
    <t>Timesheet module</t>
  </si>
  <si>
    <t>Yes - mobile &amp; web</t>
  </si>
  <si>
    <t>Yes</t>
  </si>
  <si>
    <t>Manual spreadsheets</t>
  </si>
  <si>
    <t>Intelligence / AI analytics</t>
  </si>
  <si>
    <t>Yes - workforce insights &amp; forecasting</t>
  </si>
  <si>
    <t>ISO 9001:2015 QMS integration</t>
  </si>
  <si>
    <t>Yes - built-in document pack</t>
  </si>
  <si>
    <t>Mobile app (PWA)</t>
  </si>
  <si>
    <t>Yes - iOS &amp; Android</t>
  </si>
  <si>
    <t>Varies</t>
  </si>
  <si>
    <t>Sage integration</t>
  </si>
  <si>
    <t>Yes - native</t>
  </si>
  <si>
    <t>Third-party add-on</t>
  </si>
  <si>
    <t>Custom branding</t>
  </si>
  <si>
    <t>Yes - white-label ready</t>
  </si>
  <si>
    <t>N/A</t>
  </si>
  <si>
    <t>UK bank holidays auto-calculation</t>
  </si>
  <si>
    <t>Manual</t>
  </si>
  <si>
    <t>IR35 determination tools</t>
  </si>
  <si>
    <t>Yes - built-in assessment</t>
  </si>
  <si>
    <t>Basic checklist</t>
  </si>
  <si>
    <t>Email notifications &amp; alerts</t>
  </si>
  <si>
    <t>Yes - branded HTML emails</t>
  </si>
  <si>
    <t>Onboarding portal</t>
  </si>
  <si>
    <t>Yes - self-service</t>
  </si>
  <si>
    <t>UK-based support</t>
  </si>
  <si>
    <t>Yes - dedicated account manager</t>
  </si>
  <si>
    <t>Email only</t>
  </si>
  <si>
    <t>Ready to switch? Contact sales@prlsitesolutions.co.uk or visit prism.prlsitesolutions.co.uk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</si>
</sst>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"/>
    <numFmt numFmtId="165" formatCode="#,##0&quot;%&quot;"/>
    <numFmt numFmtId="166" formatCode="#,##0.0&quot; months&quot;"/>
  </numFmts>
  <fonts count="14" x14ac:knownFonts="1">
    <font>
      <sz val="11"/>
      <color theme="1"/>
      <name val="Calibri"/>
      <family val="2"/>
      <scheme val="minor"/>
    </font>
    <font>
      <b/>
      <sz val="18"/>
      <color rgb="FF005F8C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0"/>
      <name val="Calibri"/>
    </font>
    <font>
      <i/>
      <sz val="9"/>
      <color rgb="FF888888"/>
      <name val="Calibri"/>
    </font>
    <font>
      <b/>
      <sz val="11"/>
      <name val="Calibri"/>
    </font>
    <font>
      <b/>
      <sz val="13"/>
      <name val="Calibri"/>
    </font>
    <font>
      <b/>
      <sz val="14"/>
      <color rgb="FF005F8C"/>
      <name val="Calibri"/>
    </font>
    <font>
      <b/>
      <sz val="10"/>
      <color rgb="FF005F8C"/>
      <name val="Calibri"/>
    </font>
    <font>
      <sz val="9"/>
      <color rgb="FF666666"/>
      <name val="Calibri"/>
    </font>
    <font>
      <i/>
      <sz val="9"/>
      <color rgb="FF999999"/>
      <name val="Calibri"/>
    </font>
    <font>
      <b/>
      <sz val="11"/>
      <color rgb="FF005F8C"/>
      <name val="Calibri"/>
    </font>
    <font>
      <sz val="11"/>
      <color rgb="FFCC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7AAD"/>
      </patternFill>
    </fill>
    <fill>
      <patternFill patternType="solid">
        <fgColor rgb="FFFFFFCC"/>
      </patternFill>
    </fill>
    <fill>
      <patternFill patternType="solid">
        <fgColor rgb="FFFFF3CD"/>
      </patternFill>
    </fill>
    <fill>
      <patternFill patternType="solid">
        <fgColor rgb="FFE8F4E8"/>
      </patternFill>
    </fill>
    <fill>
      <patternFill patternType="solid">
        <fgColor rgb="FFD4EDDA"/>
      </patternFill>
    </fill>
    <fill>
      <patternFill patternType="solid">
        <fgColor rgb="FF005F8C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wrapText="1"/>
    </xf>
    <xf numFmtId="3" fontId="0" fillId="3" borderId="1" xfId="0" applyNumberFormat="1" applyFill="1" applyBorder="1" applyProtection="1">
      <protection locked="0"/>
    </xf>
    <xf numFmtId="164" fontId="0" fillId="3" borderId="1" xfId="0" applyNumberFormat="1" applyFill="1" applyBorder="1" applyProtection="1">
      <protection locked="0"/>
    </xf>
    <xf numFmtId="0" fontId="5" fillId="0" borderId="1" xfId="0" applyFont="1" applyBorder="1"/>
    <xf numFmtId="164" fontId="0" fillId="0" borderId="1" xfId="0" applyNumberFormat="1" applyBorder="1"/>
    <xf numFmtId="0" fontId="6" fillId="4" borderId="1" xfId="0" applyFont="1" applyFill="1" applyBorder="1"/>
    <xf numFmtId="164" fontId="6" fillId="5" borderId="1" xfId="0" applyNumberFormat="1" applyFont="1" applyFill="1" applyBorder="1"/>
    <xf numFmtId="9" fontId="0" fillId="0" borderId="1" xfId="0" applyNumberFormat="1" applyBorder="1"/>
    <xf numFmtId="0" fontId="7" fillId="0" borderId="1" xfId="0" applyFont="1" applyBorder="1"/>
    <xf numFmtId="164" fontId="8" fillId="6" borderId="1" xfId="0" applyNumberFormat="1" applyFont="1" applyFill="1" applyBorder="1"/>
    <xf numFmtId="165" fontId="8" fillId="6" borderId="1" xfId="0" applyNumberFormat="1" applyFont="1" applyFill="1" applyBorder="1"/>
    <xf numFmtId="166" fontId="8" fillId="6" borderId="1" xfId="0" applyNumberFormat="1" applyFont="1" applyFill="1" applyBorder="1"/>
    <xf numFmtId="0" fontId="9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wrapText="1"/>
    </xf>
    <xf numFmtId="0" fontId="12" fillId="9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F8C"/>
    <pageSetUpPr fitToPage="1"/>
  </sheetPr>
  <dimension ref="A1:C42"/>
  <sheetViews>
    <sheetView tabSelected="1" topLeftCell="A2" workbookViewId="0">
      <selection activeCell="F16" sqref="F16"/>
    </sheetView>
  </sheetViews>
  <sheetFormatPr defaultRowHeight="15" x14ac:dyDescent="0.25"/>
  <cols>
    <col min="1" max="1" width="44" customWidth="1"/>
    <col min="2" max="2" width="32" customWidth="1"/>
    <col min="3" max="3" width="24" customWidth="1"/>
  </cols>
  <sheetData>
    <row r="1" spans="1:3" ht="23.25" x14ac:dyDescent="0.35">
      <c r="A1" s="20" t="s">
        <v>0</v>
      </c>
      <c r="B1" s="20"/>
      <c r="C1" s="20"/>
    </row>
    <row r="2" spans="1:3" x14ac:dyDescent="0.25">
      <c r="A2" s="21" t="s">
        <v>1</v>
      </c>
      <c r="B2" s="21"/>
      <c r="C2" s="21"/>
    </row>
    <row r="4" spans="1:3" x14ac:dyDescent="0.25">
      <c r="A4" s="1" t="s">
        <v>2</v>
      </c>
      <c r="B4" s="1"/>
      <c r="C4" s="1" t="s">
        <v>3</v>
      </c>
    </row>
    <row r="5" spans="1:3" x14ac:dyDescent="0.25">
      <c r="A5" s="2" t="s">
        <v>4</v>
      </c>
      <c r="C5" s="3">
        <v>70</v>
      </c>
    </row>
    <row r="6" spans="1:3" x14ac:dyDescent="0.25">
      <c r="A6" s="2" t="s">
        <v>5</v>
      </c>
      <c r="C6" s="3">
        <v>5</v>
      </c>
    </row>
    <row r="7" spans="1:3" x14ac:dyDescent="0.25">
      <c r="A7" s="2" t="s">
        <v>6</v>
      </c>
      <c r="C7" s="4">
        <v>20</v>
      </c>
    </row>
    <row r="8" spans="1:3" x14ac:dyDescent="0.25">
      <c r="A8" s="2" t="s">
        <v>7</v>
      </c>
      <c r="C8" s="3">
        <v>10</v>
      </c>
    </row>
    <row r="9" spans="1:3" x14ac:dyDescent="0.25">
      <c r="A9" s="2" t="s">
        <v>8</v>
      </c>
      <c r="C9" s="3">
        <v>8</v>
      </c>
    </row>
    <row r="10" spans="1:3" x14ac:dyDescent="0.25">
      <c r="A10" s="2" t="s">
        <v>9</v>
      </c>
      <c r="C10" s="3">
        <v>6</v>
      </c>
    </row>
    <row r="11" spans="1:3" x14ac:dyDescent="0.25">
      <c r="A11" s="2" t="s">
        <v>10</v>
      </c>
      <c r="C11" s="3">
        <v>4</v>
      </c>
    </row>
    <row r="12" spans="1:3" x14ac:dyDescent="0.25">
      <c r="A12" s="2" t="s">
        <v>11</v>
      </c>
      <c r="C12" s="4">
        <v>200</v>
      </c>
    </row>
    <row r="13" spans="1:3" x14ac:dyDescent="0.25">
      <c r="A13" s="2" t="s">
        <v>12</v>
      </c>
      <c r="C13" s="3">
        <v>3</v>
      </c>
    </row>
    <row r="14" spans="1:3" x14ac:dyDescent="0.25">
      <c r="A14" s="2" t="s">
        <v>13</v>
      </c>
      <c r="C14" s="4">
        <v>500</v>
      </c>
    </row>
    <row r="15" spans="1:3" x14ac:dyDescent="0.25">
      <c r="A15" s="2" t="s">
        <v>14</v>
      </c>
      <c r="C15" s="4">
        <v>5000</v>
      </c>
    </row>
    <row r="17" spans="1:3" x14ac:dyDescent="0.25">
      <c r="A17" s="1" t="s">
        <v>15</v>
      </c>
      <c r="B17" s="1"/>
      <c r="C17" s="1"/>
    </row>
    <row r="18" spans="1:3" x14ac:dyDescent="0.25">
      <c r="A18" s="2" t="s">
        <v>16</v>
      </c>
      <c r="B18" s="5" t="s">
        <v>17</v>
      </c>
      <c r="C18" s="6">
        <f>C6*(C8+C9+C10+C11)*C7*52</f>
        <v>145600</v>
      </c>
    </row>
    <row r="19" spans="1:3" x14ac:dyDescent="0.25">
      <c r="A19" s="2" t="s">
        <v>18</v>
      </c>
      <c r="B19" s="5" t="s">
        <v>19</v>
      </c>
      <c r="C19" s="6">
        <f>C13*C14*12</f>
        <v>18000</v>
      </c>
    </row>
    <row r="20" spans="1:3" x14ac:dyDescent="0.25">
      <c r="A20" s="2" t="s">
        <v>20</v>
      </c>
      <c r="C20" s="6">
        <f>C15</f>
        <v>5000</v>
      </c>
    </row>
    <row r="21" spans="1:3" x14ac:dyDescent="0.25">
      <c r="A21" s="2" t="s">
        <v>21</v>
      </c>
      <c r="C21" s="6">
        <f>C12*12</f>
        <v>2400</v>
      </c>
    </row>
    <row r="22" spans="1:3" x14ac:dyDescent="0.25">
      <c r="A22" s="7" t="s">
        <v>22</v>
      </c>
      <c r="C22" s="8">
        <f>C18+C19+C20+C21</f>
        <v>171000</v>
      </c>
    </row>
    <row r="24" spans="1:3" x14ac:dyDescent="0.25">
      <c r="A24" s="1" t="s">
        <v>23</v>
      </c>
      <c r="B24" s="1"/>
      <c r="C24" s="1"/>
    </row>
    <row r="25" spans="1:3" x14ac:dyDescent="0.25">
      <c r="A25" s="2" t="s">
        <v>24</v>
      </c>
      <c r="C25" s="9">
        <v>0.7</v>
      </c>
    </row>
    <row r="26" spans="1:3" x14ac:dyDescent="0.25">
      <c r="A26" s="2" t="s">
        <v>25</v>
      </c>
      <c r="B26" s="5" t="s">
        <v>26</v>
      </c>
      <c r="C26" s="6">
        <f>IF(C5&lt;=25,199*12,IF(C5&lt;=100,399*12,IF(C5&lt;=250,699*12,999*12)))</f>
        <v>4788</v>
      </c>
    </row>
    <row r="27" spans="1:3" x14ac:dyDescent="0.25">
      <c r="A27" s="2" t="s">
        <v>27</v>
      </c>
      <c r="C27" s="9">
        <v>0.9</v>
      </c>
    </row>
    <row r="28" spans="1:3" x14ac:dyDescent="0.25">
      <c r="A28" s="2" t="s">
        <v>28</v>
      </c>
      <c r="C28" s="9">
        <v>0.85</v>
      </c>
    </row>
    <row r="29" spans="1:3" x14ac:dyDescent="0.25">
      <c r="A29" s="2" t="s">
        <v>29</v>
      </c>
      <c r="C29" s="6">
        <f>C18*(1-C25)</f>
        <v>43680.000000000007</v>
      </c>
    </row>
    <row r="30" spans="1:3" x14ac:dyDescent="0.25">
      <c r="A30" s="2" t="s">
        <v>30</v>
      </c>
      <c r="C30" s="6">
        <f>C19*(1-C27)</f>
        <v>1799.9999999999995</v>
      </c>
    </row>
    <row r="31" spans="1:3" x14ac:dyDescent="0.25">
      <c r="A31" s="2" t="s">
        <v>31</v>
      </c>
      <c r="C31" s="6">
        <f>C20*(1-C28)</f>
        <v>750.00000000000011</v>
      </c>
    </row>
    <row r="32" spans="1:3" x14ac:dyDescent="0.25">
      <c r="A32" s="7" t="s">
        <v>32</v>
      </c>
      <c r="C32" s="8">
        <f>C29+C30+C31+C26</f>
        <v>51018.000000000007</v>
      </c>
    </row>
    <row r="34" spans="1:3" x14ac:dyDescent="0.25">
      <c r="A34" s="1" t="s">
        <v>33</v>
      </c>
      <c r="B34" s="1"/>
      <c r="C34" s="1"/>
    </row>
    <row r="35" spans="1:3" ht="18.75" x14ac:dyDescent="0.3">
      <c r="A35" s="10" t="s">
        <v>34</v>
      </c>
      <c r="C35" s="11">
        <f>C22-C32</f>
        <v>119982</v>
      </c>
    </row>
    <row r="36" spans="1:3" ht="18.75" x14ac:dyDescent="0.3">
      <c r="A36" s="10" t="s">
        <v>35</v>
      </c>
      <c r="C36" s="11">
        <f>C35/12</f>
        <v>9998.5</v>
      </c>
    </row>
    <row r="37" spans="1:3" ht="18.75" x14ac:dyDescent="0.3">
      <c r="A37" s="10" t="s">
        <v>36</v>
      </c>
      <c r="C37" s="12">
        <f>IF(C26&gt;0,(C35/C26)*100,0)</f>
        <v>2505.8897243107767</v>
      </c>
    </row>
    <row r="38" spans="1:3" ht="18.75" x14ac:dyDescent="0.3">
      <c r="A38" s="10" t="s">
        <v>37</v>
      </c>
      <c r="C38" s="13">
        <f>IF(C35&gt;0,C26/C35*12,0)</f>
        <v>0.47887183077461615</v>
      </c>
    </row>
    <row r="40" spans="1:3" x14ac:dyDescent="0.25">
      <c r="A40" s="14" t="s">
        <v>38</v>
      </c>
    </row>
    <row r="41" spans="1:3" x14ac:dyDescent="0.25">
      <c r="A41" s="22" t="s">
        <v>39</v>
      </c>
      <c r="B41" s="22"/>
      <c r="C41" s="22"/>
    </row>
    <row r="42" spans="1:3" x14ac:dyDescent="0.25">
      <c r="A42" s="23" t="s">
        <v>40</v>
      </c>
      <c r="B42" s="23"/>
      <c r="C42" s="23"/>
    </row>
  </sheetData>
  <mergeCells count="4">
    <mergeCell ref="A1:C1"/>
    <mergeCell ref="A2:C2"/>
    <mergeCell ref="A41:C41"/>
    <mergeCell ref="A42:C42"/>
  </mergeCells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5F8C"/>
    <pageSetUpPr fitToPage="1"/>
  </sheetPr>
  <dimension ref="A1:E22"/>
  <sheetViews>
    <sheetView workbookViewId="0">
      <selection sqref="A1:E1"/>
    </sheetView>
  </sheetViews>
  <sheetFormatPr defaultRowHeight="15" x14ac:dyDescent="0.25"/>
  <cols>
    <col min="1" max="1" width="42" customWidth="1"/>
    <col min="2" max="2" width="34" customWidth="1"/>
    <col min="3" max="3" width="26" customWidth="1"/>
    <col min="4" max="4" width="30" customWidth="1"/>
    <col min="5" max="5" width="26" customWidth="1"/>
  </cols>
  <sheetData>
    <row r="1" spans="1:5" ht="23.25" x14ac:dyDescent="0.35">
      <c r="A1" s="24" t="s">
        <v>41</v>
      </c>
      <c r="B1" s="24"/>
      <c r="C1" s="24"/>
      <c r="D1" s="24"/>
      <c r="E1" s="24"/>
    </row>
    <row r="2" spans="1:5" x14ac:dyDescent="0.25">
      <c r="A2" s="21" t="s">
        <v>42</v>
      </c>
      <c r="B2" s="21"/>
      <c r="C2" s="21"/>
      <c r="D2" s="21"/>
      <c r="E2" s="21"/>
    </row>
    <row r="4" spans="1:5" ht="27.95" customHeight="1" x14ac:dyDescent="0.25">
      <c r="A4" s="15" t="s">
        <v>43</v>
      </c>
      <c r="B4" s="15" t="s">
        <v>44</v>
      </c>
      <c r="C4" s="15" t="s">
        <v>45</v>
      </c>
      <c r="D4" s="15" t="s">
        <v>46</v>
      </c>
      <c r="E4" s="15" t="s">
        <v>47</v>
      </c>
    </row>
    <row r="5" spans="1:5" x14ac:dyDescent="0.25">
      <c r="A5" s="16" t="s">
        <v>48</v>
      </c>
      <c r="B5" s="17" t="s">
        <v>49</v>
      </c>
      <c r="C5" s="18" t="s">
        <v>50</v>
      </c>
      <c r="D5" s="18" t="s">
        <v>51</v>
      </c>
      <c r="E5" s="18" t="s">
        <v>52</v>
      </c>
    </row>
    <row r="6" spans="1:5" x14ac:dyDescent="0.25">
      <c r="A6" s="16" t="s">
        <v>53</v>
      </c>
      <c r="B6" s="17" t="s">
        <v>54</v>
      </c>
      <c r="C6" s="18" t="s">
        <v>55</v>
      </c>
      <c r="D6" s="18" t="s">
        <v>54</v>
      </c>
      <c r="E6" s="18" t="s">
        <v>56</v>
      </c>
    </row>
    <row r="7" spans="1:5" x14ac:dyDescent="0.25">
      <c r="A7" s="16" t="s">
        <v>57</v>
      </c>
      <c r="B7" s="17" t="s">
        <v>58</v>
      </c>
      <c r="C7" s="18" t="s">
        <v>59</v>
      </c>
      <c r="D7" s="18" t="s">
        <v>60</v>
      </c>
      <c r="E7" s="18" t="s">
        <v>59</v>
      </c>
    </row>
    <row r="8" spans="1:5" x14ac:dyDescent="0.25">
      <c r="A8" s="16" t="s">
        <v>61</v>
      </c>
      <c r="B8" s="17" t="s">
        <v>62</v>
      </c>
      <c r="C8" s="18" t="s">
        <v>63</v>
      </c>
      <c r="D8" s="19" t="s">
        <v>64</v>
      </c>
      <c r="E8" s="18" t="s">
        <v>65</v>
      </c>
    </row>
    <row r="9" spans="1:5" x14ac:dyDescent="0.25">
      <c r="A9" s="16" t="s">
        <v>66</v>
      </c>
      <c r="B9" s="17" t="s">
        <v>67</v>
      </c>
      <c r="C9" s="18" t="s">
        <v>68</v>
      </c>
      <c r="D9" s="19" t="s">
        <v>64</v>
      </c>
      <c r="E9" s="18" t="s">
        <v>69</v>
      </c>
    </row>
    <row r="10" spans="1:5" x14ac:dyDescent="0.25">
      <c r="A10" s="16" t="s">
        <v>70</v>
      </c>
      <c r="B10" s="17" t="s">
        <v>71</v>
      </c>
      <c r="C10" s="18" t="s">
        <v>72</v>
      </c>
      <c r="D10" s="19" t="s">
        <v>73</v>
      </c>
      <c r="E10" s="18" t="s">
        <v>63</v>
      </c>
    </row>
    <row r="11" spans="1:5" ht="30" x14ac:dyDescent="0.25">
      <c r="A11" s="16" t="s">
        <v>74</v>
      </c>
      <c r="B11" s="17" t="s">
        <v>75</v>
      </c>
      <c r="C11" s="19" t="s">
        <v>64</v>
      </c>
      <c r="D11" s="19" t="s">
        <v>64</v>
      </c>
      <c r="E11" s="19" t="s">
        <v>64</v>
      </c>
    </row>
    <row r="12" spans="1:5" x14ac:dyDescent="0.25">
      <c r="A12" s="16" t="s">
        <v>76</v>
      </c>
      <c r="B12" s="17" t="s">
        <v>77</v>
      </c>
      <c r="C12" s="19" t="s">
        <v>64</v>
      </c>
      <c r="D12" s="19" t="s">
        <v>64</v>
      </c>
      <c r="E12" s="19" t="s">
        <v>64</v>
      </c>
    </row>
    <row r="13" spans="1:5" x14ac:dyDescent="0.25">
      <c r="A13" s="16" t="s">
        <v>78</v>
      </c>
      <c r="B13" s="17" t="s">
        <v>79</v>
      </c>
      <c r="C13" s="18" t="s">
        <v>65</v>
      </c>
      <c r="D13" s="19" t="s">
        <v>64</v>
      </c>
      <c r="E13" s="18" t="s">
        <v>80</v>
      </c>
    </row>
    <row r="14" spans="1:5" x14ac:dyDescent="0.25">
      <c r="A14" s="16" t="s">
        <v>81</v>
      </c>
      <c r="B14" s="17" t="s">
        <v>82</v>
      </c>
      <c r="C14" s="18" t="s">
        <v>83</v>
      </c>
      <c r="D14" s="19" t="s">
        <v>64</v>
      </c>
      <c r="E14" s="18" t="s">
        <v>83</v>
      </c>
    </row>
    <row r="15" spans="1:5" x14ac:dyDescent="0.25">
      <c r="A15" s="16" t="s">
        <v>84</v>
      </c>
      <c r="B15" s="17" t="s">
        <v>85</v>
      </c>
      <c r="C15" s="19" t="s">
        <v>64</v>
      </c>
      <c r="D15" s="18" t="s">
        <v>86</v>
      </c>
      <c r="E15" s="18" t="s">
        <v>65</v>
      </c>
    </row>
    <row r="16" spans="1:5" x14ac:dyDescent="0.25">
      <c r="A16" s="16" t="s">
        <v>87</v>
      </c>
      <c r="B16" s="17" t="s">
        <v>72</v>
      </c>
      <c r="C16" s="19" t="s">
        <v>64</v>
      </c>
      <c r="D16" s="19" t="s">
        <v>88</v>
      </c>
      <c r="E16" s="18" t="s">
        <v>80</v>
      </c>
    </row>
    <row r="17" spans="1:5" x14ac:dyDescent="0.25">
      <c r="A17" s="16" t="s">
        <v>89</v>
      </c>
      <c r="B17" s="17" t="s">
        <v>90</v>
      </c>
      <c r="C17" s="18" t="s">
        <v>91</v>
      </c>
      <c r="D17" s="19" t="s">
        <v>64</v>
      </c>
      <c r="E17" s="19" t="s">
        <v>64</v>
      </c>
    </row>
    <row r="18" spans="1:5" x14ac:dyDescent="0.25">
      <c r="A18" s="16" t="s">
        <v>92</v>
      </c>
      <c r="B18" s="17" t="s">
        <v>93</v>
      </c>
      <c r="C18" s="18" t="s">
        <v>63</v>
      </c>
      <c r="D18" s="19" t="s">
        <v>64</v>
      </c>
      <c r="E18" s="18" t="s">
        <v>63</v>
      </c>
    </row>
    <row r="19" spans="1:5" x14ac:dyDescent="0.25">
      <c r="A19" s="16" t="s">
        <v>94</v>
      </c>
      <c r="B19" s="17" t="s">
        <v>95</v>
      </c>
      <c r="C19" s="19" t="s">
        <v>64</v>
      </c>
      <c r="D19" s="19" t="s">
        <v>64</v>
      </c>
      <c r="E19" s="18" t="s">
        <v>65</v>
      </c>
    </row>
    <row r="20" spans="1:5" x14ac:dyDescent="0.25">
      <c r="A20" s="16" t="s">
        <v>96</v>
      </c>
      <c r="B20" s="17" t="s">
        <v>97</v>
      </c>
      <c r="C20" s="18" t="s">
        <v>98</v>
      </c>
      <c r="D20" s="18" t="s">
        <v>86</v>
      </c>
      <c r="E20" s="18" t="s">
        <v>80</v>
      </c>
    </row>
    <row r="22" spans="1:5" x14ac:dyDescent="0.25">
      <c r="A22" s="25" t="s">
        <v>99</v>
      </c>
      <c r="B22" s="25"/>
      <c r="C22" s="25"/>
      <c r="D22" s="25"/>
      <c r="E22" s="25"/>
    </row>
  </sheetData>
  <mergeCells count="3">
    <mergeCell ref="A1:E1"/>
    <mergeCell ref="A2:E2"/>
    <mergeCell ref="A22:E22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ROI Calculator</vt:lpstr>
      <vt:lpstr>Pricing Comparison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2026-03-24T14:55:21Z</dcterms:created>
  <dcterms:modified xsi:type="dcterms:W3CDTF">2026-03-24T20:00:38Z</dcterms:modified>
  <cp:category/>
</cp:coreProperties>
</file>